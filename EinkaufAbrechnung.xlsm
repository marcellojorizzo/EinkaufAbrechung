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DieseArbeitsmappe" defaultThemeVersion="124226"/>
  <bookViews>
    <workbookView xWindow="240" yWindow="120" windowWidth="18780" windowHeight="11895"/>
  </bookViews>
  <sheets>
    <sheet name="Abrechnung" sheetId="1" r:id="rId1"/>
    <sheet name="Übersicht" sheetId="2" r:id="rId2"/>
  </sheets>
  <functionGroups builtInGroupCount="17"/>
  <definedNames>
    <definedName name="_xlnm.Print_Area" localSheetId="0">Abrechnung!$A$1:$F$4</definedName>
    <definedName name="_xlnm.Print_Area" localSheetId="1">Übersicht!$A$1:$F$19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Abrechnung!#REF!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45621"/>
</workbook>
</file>

<file path=xl/calcChain.xml><?xml version="1.0" encoding="utf-8"?>
<calcChain xmlns="http://schemas.openxmlformats.org/spreadsheetml/2006/main">
  <c r="C3" i="1" l="1"/>
  <c r="G27" i="2" l="1"/>
  <c r="G28" i="2"/>
  <c r="D18" i="2" l="1"/>
  <c r="D17" i="2"/>
  <c r="I17" i="2" l="1"/>
  <c r="F17" i="2"/>
  <c r="E17" i="2"/>
  <c r="C17" i="2"/>
  <c r="D19" i="2" s="1"/>
  <c r="H17" i="2"/>
  <c r="B17" i="2"/>
  <c r="C4" i="1"/>
</calcChain>
</file>

<file path=xl/sharedStrings.xml><?xml version="1.0" encoding="utf-8"?>
<sst xmlns="http://schemas.openxmlformats.org/spreadsheetml/2006/main" count="25" uniqueCount="24">
  <si>
    <t>Einzelpreis</t>
  </si>
  <si>
    <t>Menge</t>
  </si>
  <si>
    <t>Gesamt</t>
  </si>
  <si>
    <t>Name</t>
  </si>
  <si>
    <t>Restgeld</t>
  </si>
  <si>
    <t>END</t>
  </si>
  <si>
    <t>Betrag für Einkauf</t>
  </si>
  <si>
    <t>Summe:</t>
  </si>
  <si>
    <t xml:space="preserve">Anzahl Positionen: </t>
  </si>
  <si>
    <t>Geldbeutel</t>
  </si>
  <si>
    <t>Belege</t>
  </si>
  <si>
    <t>ALDI</t>
  </si>
  <si>
    <t>KIOSK</t>
  </si>
  <si>
    <t>KAUFLAND</t>
  </si>
  <si>
    <t>Abrechungen</t>
  </si>
  <si>
    <t>Saldo</t>
  </si>
  <si>
    <t>Einkaufsbetrag</t>
  </si>
  <si>
    <t>Budget</t>
  </si>
  <si>
    <t>Pfand IST</t>
  </si>
  <si>
    <t>Pfandflaschen lt. Zettel</t>
  </si>
  <si>
    <t>Flaschen IST</t>
  </si>
  <si>
    <t>Belege Summe</t>
  </si>
  <si>
    <t>Flaschen SOLL</t>
  </si>
  <si>
    <t xml:space="preserve">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</si>
</sst>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#,##0.00\ &quot;€&quot;"/>
    <numFmt numFmtId="165" formatCode="#,##0.00\ _€"/>
    <numFmt numFmtId="166" formatCode="#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49" fontId="1" fillId="3" borderId="2" xfId="0" applyNumberFormat="1" applyFont="1" applyFill="1" applyBorder="1" applyAlignment="1" applyProtection="1">
      <alignment horizontal="center"/>
    </xf>
    <xf numFmtId="165" fontId="1" fillId="3" borderId="2" xfId="0" applyNumberFormat="1" applyFont="1" applyFill="1" applyBorder="1" applyAlignment="1" applyProtection="1">
      <alignment horizontal="center"/>
    </xf>
    <xf numFmtId="49" fontId="1" fillId="3" borderId="3" xfId="0" applyNumberFormat="1" applyFont="1" applyFill="1" applyBorder="1" applyAlignment="1" applyProtection="1">
      <alignment horizontal="center"/>
    </xf>
    <xf numFmtId="164" fontId="2" fillId="3" borderId="1" xfId="0" applyNumberFormat="1" applyFont="1" applyFill="1" applyBorder="1" applyAlignment="1" applyProtection="1">
      <alignment horizontal="center"/>
    </xf>
    <xf numFmtId="0" fontId="0" fillId="2" borderId="0" xfId="0" applyFill="1" applyProtection="1">
      <protection locked="0"/>
    </xf>
    <xf numFmtId="165" fontId="0" fillId="2" borderId="0" xfId="0" applyNumberFormat="1" applyFill="1" applyProtection="1">
      <protection locked="0"/>
    </xf>
    <xf numFmtId="164" fontId="0" fillId="2" borderId="0" xfId="0" applyNumberFormat="1" applyFill="1" applyProtection="1">
      <protection locked="0"/>
    </xf>
    <xf numFmtId="0" fontId="0" fillId="2" borderId="0" xfId="0" applyFill="1" applyBorder="1" applyProtection="1"/>
    <xf numFmtId="164" fontId="0" fillId="2" borderId="3" xfId="0" applyNumberFormat="1" applyFill="1" applyBorder="1" applyProtection="1"/>
    <xf numFmtId="0" fontId="0" fillId="2" borderId="4" xfId="0" applyFill="1" applyBorder="1" applyProtection="1"/>
    <xf numFmtId="1" fontId="1" fillId="4" borderId="0" xfId="0" applyNumberFormat="1" applyFont="1" applyFill="1" applyBorder="1" applyProtection="1"/>
    <xf numFmtId="164" fontId="0" fillId="4" borderId="0" xfId="0" applyNumberFormat="1" applyFill="1" applyBorder="1" applyProtection="1"/>
    <xf numFmtId="0" fontId="0" fillId="2" borderId="0" xfId="0" applyFill="1" applyProtection="1"/>
    <xf numFmtId="0" fontId="0" fillId="2" borderId="6" xfId="0" applyFill="1" applyBorder="1" applyProtection="1">
      <protection locked="0"/>
    </xf>
    <xf numFmtId="0" fontId="0" fillId="4" borderId="0" xfId="0" applyFill="1" applyProtection="1">
      <protection locked="0"/>
    </xf>
    <xf numFmtId="0" fontId="3" fillId="4" borderId="0" xfId="0" applyFont="1" applyFill="1" applyBorder="1" applyProtection="1"/>
    <xf numFmtId="164" fontId="0" fillId="2" borderId="2" xfId="0" applyNumberFormat="1" applyFill="1" applyBorder="1" applyProtection="1"/>
    <xf numFmtId="164" fontId="1" fillId="4" borderId="5" xfId="0" applyNumberFormat="1" applyFont="1" applyFill="1" applyBorder="1" applyProtection="1">
      <protection locked="0"/>
    </xf>
    <xf numFmtId="164" fontId="0" fillId="0" borderId="0" xfId="0" applyNumberFormat="1"/>
    <xf numFmtId="164" fontId="1" fillId="0" borderId="0" xfId="0" applyNumberFormat="1" applyFont="1"/>
    <xf numFmtId="0" fontId="4" fillId="0" borderId="0" xfId="0" applyFont="1" applyAlignment="1">
      <alignment horizontal="center"/>
    </xf>
    <xf numFmtId="164" fontId="1" fillId="0" borderId="0" xfId="0" applyNumberFormat="1" applyFont="1" applyBorder="1"/>
    <xf numFmtId="0" fontId="1" fillId="0" borderId="0" xfId="0" applyFont="1" applyBorder="1"/>
    <xf numFmtId="3" fontId="0" fillId="0" borderId="0" xfId="0" applyNumberFormat="1"/>
    <xf numFmtId="164" fontId="4" fillId="0" borderId="0" xfId="0" applyNumberFormat="1" applyFont="1"/>
    <xf numFmtId="0" fontId="4" fillId="0" borderId="0" xfId="0" applyFont="1"/>
    <xf numFmtId="3" fontId="4" fillId="0" borderId="0" xfId="0" applyNumberFormat="1" applyFont="1"/>
    <xf numFmtId="3" fontId="0" fillId="0" borderId="0" xfId="0" applyNumberFormat="1" applyBorder="1"/>
    <xf numFmtId="164" fontId="0" fillId="0" borderId="7" xfId="0" applyNumberFormat="1" applyBorder="1"/>
    <xf numFmtId="3" fontId="0" fillId="0" borderId="7" xfId="0" applyNumberFormat="1" applyBorder="1"/>
    <xf numFmtId="164" fontId="0" fillId="0" borderId="0" xfId="0" applyNumberFormat="1" applyBorder="1"/>
    <xf numFmtId="0" fontId="0" fillId="5" borderId="8" xfId="0" applyFill="1" applyBorder="1" applyProtection="1">
      <protection locked="0"/>
    </xf>
    <xf numFmtId="164" fontId="1" fillId="4" borderId="0" xfId="0" applyNumberFormat="1" applyFont="1" applyFill="1" applyBorder="1" applyProtection="1"/>
    <xf numFmtId="164" fontId="0" fillId="5" borderId="8" xfId="0" applyNumberFormat="1" applyFill="1" applyBorder="1" applyProtection="1">
      <protection locked="0"/>
    </xf>
    <xf numFmtId="166" fontId="1" fillId="4" borderId="4" xfId="0" applyNumberFormat="1" applyFont="1" applyFill="1" applyBorder="1" applyProtection="1">
      <protection locked="0"/>
    </xf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F5050"/>
      <color rgb="FF99FF66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3</xdr:row>
      <xdr:rowOff>0</xdr:rowOff>
    </xdr:from>
    <xdr:to>
      <xdr:col>6</xdr:col>
      <xdr:colOff>9525</xdr:colOff>
      <xdr:row>4</xdr:row>
      <xdr:rowOff>19049</xdr:rowOff>
    </xdr:to>
    <xdr:pic>
      <xdr:nvPicPr>
        <xdr:cNvPr id="6" name="Grafik 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934076"/>
          <a:ext cx="6372225" cy="26669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</xdr:row>
      <xdr:rowOff>0</xdr:rowOff>
    </xdr:from>
    <xdr:to>
      <xdr:col>1</xdr:col>
      <xdr:colOff>247650</xdr:colOff>
      <xdr:row>4</xdr:row>
      <xdr:rowOff>28574</xdr:rowOff>
    </xdr:to>
    <xdr:pic macro="[0]!addTen">
      <xdr:nvPicPr>
        <xdr:cNvPr id="9" name="Grafik 8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84627" b="-3571"/>
        <a:stretch/>
      </xdr:blipFill>
      <xdr:spPr>
        <a:xfrm>
          <a:off x="28575" y="5943601"/>
          <a:ext cx="981075" cy="276224"/>
        </a:xfrm>
        <a:prstGeom prst="rect">
          <a:avLst/>
        </a:prstGeom>
      </xdr:spPr>
    </xdr:pic>
    <xdr:clientData/>
  </xdr:twoCellAnchor>
  <xdr:twoCellAnchor editAs="oneCell">
    <xdr:from>
      <xdr:col>1</xdr:col>
      <xdr:colOff>142876</xdr:colOff>
      <xdr:row>3</xdr:row>
      <xdr:rowOff>9525</xdr:rowOff>
    </xdr:from>
    <xdr:to>
      <xdr:col>2</xdr:col>
      <xdr:colOff>476250</xdr:colOff>
      <xdr:row>4</xdr:row>
      <xdr:rowOff>47623</xdr:rowOff>
    </xdr:to>
    <xdr:pic macro="[0]!addTwenty">
      <xdr:nvPicPr>
        <xdr:cNvPr id="10" name="Grafik 9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752" t="1" r="69806" b="-7144"/>
        <a:stretch/>
      </xdr:blipFill>
      <xdr:spPr>
        <a:xfrm>
          <a:off x="904876" y="3067050"/>
          <a:ext cx="1047749" cy="285748"/>
        </a:xfrm>
        <a:prstGeom prst="rect">
          <a:avLst/>
        </a:prstGeom>
      </xdr:spPr>
    </xdr:pic>
    <xdr:clientData/>
  </xdr:twoCellAnchor>
  <xdr:twoCellAnchor editAs="oneCell">
    <xdr:from>
      <xdr:col>2</xdr:col>
      <xdr:colOff>495300</xdr:colOff>
      <xdr:row>3</xdr:row>
      <xdr:rowOff>0</xdr:rowOff>
    </xdr:from>
    <xdr:to>
      <xdr:col>3</xdr:col>
      <xdr:colOff>381000</xdr:colOff>
      <xdr:row>4</xdr:row>
      <xdr:rowOff>38098</xdr:rowOff>
    </xdr:to>
    <xdr:pic macro="[0]!addFifty">
      <xdr:nvPicPr>
        <xdr:cNvPr id="11" name="Grafik 10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643" t="1" r="53512" b="-7143"/>
        <a:stretch/>
      </xdr:blipFill>
      <xdr:spPr>
        <a:xfrm>
          <a:off x="1971675" y="5934077"/>
          <a:ext cx="1009650" cy="285748"/>
        </a:xfrm>
        <a:prstGeom prst="rect">
          <a:avLst/>
        </a:prstGeom>
      </xdr:spPr>
    </xdr:pic>
    <xdr:clientData/>
  </xdr:twoCellAnchor>
  <xdr:twoCellAnchor editAs="oneCell">
    <xdr:from>
      <xdr:col>3</xdr:col>
      <xdr:colOff>361950</xdr:colOff>
      <xdr:row>3</xdr:row>
      <xdr:rowOff>0</xdr:rowOff>
    </xdr:from>
    <xdr:to>
      <xdr:col>4</xdr:col>
      <xdr:colOff>19050</xdr:colOff>
      <xdr:row>4</xdr:row>
      <xdr:rowOff>38097</xdr:rowOff>
    </xdr:to>
    <xdr:pic macro="[0]!addHundred">
      <xdr:nvPicPr>
        <xdr:cNvPr id="12" name="Grafik 11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6039" r="37668" b="-7145"/>
        <a:stretch/>
      </xdr:blipFill>
      <xdr:spPr>
        <a:xfrm>
          <a:off x="2962275" y="5924552"/>
          <a:ext cx="1038225" cy="285747"/>
        </a:xfrm>
        <a:prstGeom prst="rect">
          <a:avLst/>
        </a:prstGeom>
      </xdr:spPr>
    </xdr:pic>
    <xdr:clientData/>
  </xdr:twoCellAnchor>
  <xdr:twoCellAnchor editAs="oneCell">
    <xdr:from>
      <xdr:col>4</xdr:col>
      <xdr:colOff>104776</xdr:colOff>
      <xdr:row>3</xdr:row>
      <xdr:rowOff>0</xdr:rowOff>
    </xdr:from>
    <xdr:to>
      <xdr:col>5</xdr:col>
      <xdr:colOff>247651</xdr:colOff>
      <xdr:row>4</xdr:row>
      <xdr:rowOff>19049</xdr:rowOff>
    </xdr:to>
    <xdr:pic macro="[0]!addtwohundred">
      <xdr:nvPicPr>
        <xdr:cNvPr id="13" name="Grafik 12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3677" t="1" r="20478" b="-2"/>
        <a:stretch/>
      </xdr:blipFill>
      <xdr:spPr>
        <a:xfrm>
          <a:off x="4086226" y="5924551"/>
          <a:ext cx="1009650" cy="266699"/>
        </a:xfrm>
        <a:prstGeom prst="rect">
          <a:avLst/>
        </a:prstGeom>
      </xdr:spPr>
    </xdr:pic>
    <xdr:clientData/>
  </xdr:twoCellAnchor>
  <xdr:twoCellAnchor editAs="oneCell">
    <xdr:from>
      <xdr:col>5</xdr:col>
      <xdr:colOff>323851</xdr:colOff>
      <xdr:row>3</xdr:row>
      <xdr:rowOff>0</xdr:rowOff>
    </xdr:from>
    <xdr:to>
      <xdr:col>5</xdr:col>
      <xdr:colOff>1409701</xdr:colOff>
      <xdr:row>4</xdr:row>
      <xdr:rowOff>28573</xdr:rowOff>
    </xdr:to>
    <xdr:pic macro="[0]!addfivehundred">
      <xdr:nvPicPr>
        <xdr:cNvPr id="14" name="Grafik 13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17" t="1" r="2242" b="-3572"/>
        <a:stretch/>
      </xdr:blipFill>
      <xdr:spPr>
        <a:xfrm>
          <a:off x="5172076" y="5924551"/>
          <a:ext cx="1085850" cy="276223"/>
        </a:xfrm>
        <a:prstGeom prst="rect">
          <a:avLst/>
        </a:prstGeom>
      </xdr:spPr>
    </xdr:pic>
    <xdr:clientData/>
  </xdr:twoCellAnchor>
  <xdr:twoCellAnchor>
    <xdr:from>
      <xdr:col>6</xdr:col>
      <xdr:colOff>66675</xdr:colOff>
      <xdr:row>2</xdr:row>
      <xdr:rowOff>9527</xdr:rowOff>
    </xdr:from>
    <xdr:to>
      <xdr:col>7</xdr:col>
      <xdr:colOff>352426</xdr:colOff>
      <xdr:row>4</xdr:row>
      <xdr:rowOff>38101</xdr:rowOff>
    </xdr:to>
    <xdr:sp macro="[0]!Main" textlink="">
      <xdr:nvSpPr>
        <xdr:cNvPr id="27" name="Rechteck 26"/>
        <xdr:cNvSpPr/>
      </xdr:nvSpPr>
      <xdr:spPr>
        <a:xfrm>
          <a:off x="6457950" y="400052"/>
          <a:ext cx="1047751" cy="466724"/>
        </a:xfrm>
        <a:prstGeom prst="rect">
          <a:avLst/>
        </a:prstGeom>
        <a:solidFill>
          <a:schemeClr val="bg1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7</xdr:col>
      <xdr:colOff>371475</xdr:colOff>
      <xdr:row>2</xdr:row>
      <xdr:rowOff>9526</xdr:rowOff>
    </xdr:from>
    <xdr:to>
      <xdr:col>8</xdr:col>
      <xdr:colOff>657226</xdr:colOff>
      <xdr:row>4</xdr:row>
      <xdr:rowOff>47626</xdr:rowOff>
    </xdr:to>
    <xdr:sp macro="[0]!Plus" textlink="">
      <xdr:nvSpPr>
        <xdr:cNvPr id="28" name="Rechteck 27"/>
        <xdr:cNvSpPr/>
      </xdr:nvSpPr>
      <xdr:spPr>
        <a:xfrm>
          <a:off x="7524750" y="400051"/>
          <a:ext cx="1047751" cy="476250"/>
        </a:xfrm>
        <a:prstGeom prst="rect">
          <a:avLst/>
        </a:prstGeom>
        <a:solidFill>
          <a:schemeClr val="bg1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8</xdr:col>
      <xdr:colOff>666749</xdr:colOff>
      <xdr:row>2</xdr:row>
      <xdr:rowOff>9525</xdr:rowOff>
    </xdr:from>
    <xdr:to>
      <xdr:col>10</xdr:col>
      <xdr:colOff>190500</xdr:colOff>
      <xdr:row>4</xdr:row>
      <xdr:rowOff>57150</xdr:rowOff>
    </xdr:to>
    <xdr:sp macro="[0]!Drucken" textlink="">
      <xdr:nvSpPr>
        <xdr:cNvPr id="29" name="Rechteck 28"/>
        <xdr:cNvSpPr/>
      </xdr:nvSpPr>
      <xdr:spPr>
        <a:xfrm>
          <a:off x="8582024" y="400050"/>
          <a:ext cx="1047751" cy="485775"/>
        </a:xfrm>
        <a:prstGeom prst="rect">
          <a:avLst/>
        </a:prstGeom>
        <a:solidFill>
          <a:schemeClr val="bg1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95251</xdr:colOff>
      <xdr:row>2</xdr:row>
      <xdr:rowOff>66674</xdr:rowOff>
    </xdr:from>
    <xdr:to>
      <xdr:col>7</xdr:col>
      <xdr:colOff>285750</xdr:colOff>
      <xdr:row>3</xdr:row>
      <xdr:rowOff>238125</xdr:rowOff>
    </xdr:to>
    <xdr:sp macro="[0]!Main" textlink="">
      <xdr:nvSpPr>
        <xdr:cNvPr id="30" name="Textfeld 29"/>
        <xdr:cNvSpPr txBox="1"/>
      </xdr:nvSpPr>
      <xdr:spPr>
        <a:xfrm>
          <a:off x="6486526" y="457199"/>
          <a:ext cx="952499" cy="361951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de-DE" sz="800" b="1"/>
            <a:t>Abrechnung  Starten</a:t>
          </a:r>
        </a:p>
      </xdr:txBody>
    </xdr:sp>
    <xdr:clientData/>
  </xdr:twoCellAnchor>
  <xdr:twoCellAnchor>
    <xdr:from>
      <xdr:col>7</xdr:col>
      <xdr:colOff>438150</xdr:colOff>
      <xdr:row>2</xdr:row>
      <xdr:rowOff>76202</xdr:rowOff>
    </xdr:from>
    <xdr:to>
      <xdr:col>8</xdr:col>
      <xdr:colOff>581025</xdr:colOff>
      <xdr:row>3</xdr:row>
      <xdr:rowOff>228601</xdr:rowOff>
    </xdr:to>
    <xdr:sp macro="[0]!Plus" textlink="">
      <xdr:nvSpPr>
        <xdr:cNvPr id="31" name="Textfeld 30"/>
        <xdr:cNvSpPr txBox="1"/>
      </xdr:nvSpPr>
      <xdr:spPr>
        <a:xfrm>
          <a:off x="7591425" y="466727"/>
          <a:ext cx="904875" cy="342899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de-DE" sz="800" b="1"/>
            <a:t>Artikel </a:t>
          </a:r>
        </a:p>
        <a:p>
          <a:pPr algn="ctr"/>
          <a:r>
            <a:rPr lang="de-DE" sz="800" b="1"/>
            <a:t>Einfügen</a:t>
          </a:r>
        </a:p>
      </xdr:txBody>
    </xdr:sp>
    <xdr:clientData/>
  </xdr:twoCellAnchor>
  <xdr:twoCellAnchor>
    <xdr:from>
      <xdr:col>8</xdr:col>
      <xdr:colOff>733425</xdr:colOff>
      <xdr:row>2</xdr:row>
      <xdr:rowOff>76201</xdr:rowOff>
    </xdr:from>
    <xdr:to>
      <xdr:col>10</xdr:col>
      <xdr:colOff>133351</xdr:colOff>
      <xdr:row>4</xdr:row>
      <xdr:rowOff>1</xdr:rowOff>
    </xdr:to>
    <xdr:sp macro="[0]!Drucken" textlink="">
      <xdr:nvSpPr>
        <xdr:cNvPr id="32" name="Textfeld 31"/>
        <xdr:cNvSpPr txBox="1"/>
      </xdr:nvSpPr>
      <xdr:spPr>
        <a:xfrm>
          <a:off x="8648700" y="466726"/>
          <a:ext cx="923926" cy="3619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de-DE" sz="800" b="1"/>
            <a:t>Formular </a:t>
          </a:r>
        </a:p>
        <a:p>
          <a:pPr algn="ctr"/>
          <a:r>
            <a:rPr lang="de-DE" sz="800" b="1"/>
            <a:t>Drucken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N4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1" width="11.42578125" style="5"/>
    <col min="2" max="2" width="10.7109375" style="6" bestFit="1" customWidth="1"/>
    <col min="3" max="3" width="16.85546875" style="5" bestFit="1" customWidth="1"/>
    <col min="4" max="4" width="20.7109375" style="7" bestFit="1" customWidth="1"/>
    <col min="5" max="5" width="13" style="7" customWidth="1"/>
    <col min="6" max="6" width="23.140625" style="5" customWidth="1"/>
    <col min="7" max="16384" width="11.42578125" style="5"/>
  </cols>
  <sheetData>
    <row r="1" spans="1:14" ht="15.75" x14ac:dyDescent="0.25">
      <c r="A1" s="1" t="s">
        <v>1</v>
      </c>
      <c r="B1" s="2" t="s">
        <v>0</v>
      </c>
      <c r="C1" s="3" t="s">
        <v>2</v>
      </c>
      <c r="D1" s="3" t="s">
        <v>6</v>
      </c>
      <c r="E1" s="4" t="s">
        <v>4</v>
      </c>
      <c r="F1" s="3" t="s">
        <v>3</v>
      </c>
    </row>
    <row r="2" spans="1:14" s="15" customFormat="1" x14ac:dyDescent="0.25">
      <c r="D2" s="34">
        <v>0</v>
      </c>
      <c r="F2" s="32" t="s">
        <v>23</v>
      </c>
    </row>
    <row r="3" spans="1:14" s="14" customFormat="1" x14ac:dyDescent="0.25">
      <c r="A3" s="11" t="s">
        <v>7</v>
      </c>
      <c r="B3" s="12"/>
      <c r="C3" s="18" t="e">
        <f>SUM(#REF!)</f>
        <v>#REF!</v>
      </c>
      <c r="D3" s="33" t="s">
        <v>8</v>
      </c>
      <c r="E3" s="35">
        <v>1</v>
      </c>
      <c r="F3" s="16"/>
    </row>
    <row r="4" spans="1:14" s="8" customFormat="1" ht="19.5" customHeight="1" x14ac:dyDescent="0.25">
      <c r="A4" s="8" t="s">
        <v>5</v>
      </c>
      <c r="B4" s="13"/>
      <c r="C4" s="8" t="e">
        <f ca="1">SUMME(C3:$C4)</f>
        <v>#NAME?</v>
      </c>
      <c r="D4" s="9">
        <v>0</v>
      </c>
      <c r="E4" s="17"/>
      <c r="F4" s="10" t="s">
        <v>5</v>
      </c>
      <c r="G4" s="13"/>
      <c r="H4" s="13"/>
      <c r="I4" s="13"/>
      <c r="J4" s="13"/>
      <c r="K4" s="13"/>
      <c r="L4" s="13"/>
      <c r="M4" s="13"/>
      <c r="N4" s="13"/>
    </row>
  </sheetData>
  <sheetProtection sheet="1" objects="1" scenarios="1" formatCells="0" formatColumns="0" formatRows="0" insertColumns="0" insertRows="0" insertHyperlinks="0" deleteColumns="0" deleteRows="0" selectLockedCells="1" sort="0" autoFilter="0" pivotTables="0"/>
  <dataConsolidate/>
  <pageMargins left="0.7" right="0.7" top="0.78740157499999996" bottom="0.78740157499999996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I32"/>
  <sheetViews>
    <sheetView workbookViewId="0">
      <selection activeCell="A2" sqref="A2:A16"/>
    </sheetView>
  </sheetViews>
  <sheetFormatPr baseColWidth="10" defaultRowHeight="15" x14ac:dyDescent="0.25"/>
  <cols>
    <col min="1" max="1" width="13.85546875" bestFit="1" customWidth="1"/>
    <col min="2" max="2" width="14.140625" bestFit="1" customWidth="1"/>
    <col min="3" max="3" width="22.28515625" bestFit="1" customWidth="1"/>
    <col min="5" max="5" width="15" bestFit="1" customWidth="1"/>
    <col min="8" max="8" width="14.42578125" bestFit="1" customWidth="1"/>
  </cols>
  <sheetData>
    <row r="1" spans="1:9" x14ac:dyDescent="0.25">
      <c r="A1" s="21" t="s">
        <v>14</v>
      </c>
      <c r="B1" s="21" t="s">
        <v>17</v>
      </c>
      <c r="C1" s="21" t="s">
        <v>19</v>
      </c>
      <c r="D1" s="21" t="s">
        <v>18</v>
      </c>
      <c r="E1" s="21" t="s">
        <v>16</v>
      </c>
      <c r="F1" s="21" t="s">
        <v>15</v>
      </c>
      <c r="G1" s="21" t="s">
        <v>10</v>
      </c>
      <c r="H1" s="21" t="s">
        <v>21</v>
      </c>
      <c r="I1" s="21" t="s">
        <v>9</v>
      </c>
    </row>
    <row r="2" spans="1:9" x14ac:dyDescent="0.25">
      <c r="A2" s="19"/>
      <c r="B2" s="19">
        <v>50</v>
      </c>
      <c r="C2" s="24">
        <v>4</v>
      </c>
      <c r="D2" s="19">
        <v>5</v>
      </c>
      <c r="E2" s="19">
        <v>18.86</v>
      </c>
      <c r="F2" s="19">
        <v>31.14</v>
      </c>
      <c r="G2" s="19" t="s">
        <v>12</v>
      </c>
      <c r="H2" s="19">
        <v>37.799999999999997</v>
      </c>
      <c r="I2" s="19">
        <v>50</v>
      </c>
    </row>
    <row r="3" spans="1:9" x14ac:dyDescent="0.25">
      <c r="A3" s="19"/>
      <c r="B3" s="19">
        <v>0</v>
      </c>
      <c r="C3" s="24">
        <v>14</v>
      </c>
      <c r="D3" s="19">
        <v>24.75</v>
      </c>
      <c r="E3" s="19">
        <v>-0.33</v>
      </c>
      <c r="F3" s="19">
        <v>0.33</v>
      </c>
      <c r="G3" s="19" t="s">
        <v>11</v>
      </c>
      <c r="H3" s="19">
        <v>28.2</v>
      </c>
      <c r="I3" s="19">
        <v>10</v>
      </c>
    </row>
    <row r="4" spans="1:9" x14ac:dyDescent="0.25">
      <c r="A4" s="19"/>
      <c r="B4" s="19">
        <v>50</v>
      </c>
      <c r="C4" s="24">
        <v>0</v>
      </c>
      <c r="D4" s="19"/>
      <c r="E4" s="19">
        <v>51.13</v>
      </c>
      <c r="F4" s="19">
        <v>-1.1299999999999999</v>
      </c>
      <c r="G4" s="19" t="s">
        <v>13</v>
      </c>
      <c r="H4" s="19">
        <v>242.4</v>
      </c>
      <c r="I4" s="19">
        <v>28</v>
      </c>
    </row>
    <row r="5" spans="1:9" x14ac:dyDescent="0.25">
      <c r="A5" s="19"/>
      <c r="B5" s="19">
        <v>15</v>
      </c>
      <c r="C5" s="24">
        <v>0</v>
      </c>
      <c r="D5" s="19"/>
      <c r="E5" s="19">
        <v>13.74</v>
      </c>
      <c r="F5" s="19">
        <v>1.26</v>
      </c>
      <c r="G5" s="19"/>
      <c r="H5" s="19"/>
      <c r="I5" s="19">
        <v>1</v>
      </c>
    </row>
    <row r="6" spans="1:9" x14ac:dyDescent="0.25">
      <c r="A6" s="31"/>
      <c r="B6" s="19">
        <v>0.38</v>
      </c>
      <c r="C6" s="24">
        <v>8</v>
      </c>
      <c r="D6" s="19"/>
      <c r="E6" s="19">
        <v>2.38</v>
      </c>
      <c r="F6" s="19">
        <v>0</v>
      </c>
      <c r="G6" s="19"/>
      <c r="H6" s="19"/>
      <c r="I6" s="19">
        <v>1</v>
      </c>
    </row>
    <row r="7" spans="1:9" x14ac:dyDescent="0.25">
      <c r="A7" s="19"/>
      <c r="B7" s="19">
        <v>40</v>
      </c>
      <c r="C7" s="24">
        <v>11</v>
      </c>
      <c r="D7" s="19"/>
      <c r="E7" s="19">
        <v>30.81</v>
      </c>
      <c r="F7" s="19">
        <v>9.19</v>
      </c>
      <c r="G7" s="19"/>
      <c r="H7" s="19"/>
      <c r="I7" s="19">
        <v>0.6</v>
      </c>
    </row>
    <row r="8" spans="1:9" x14ac:dyDescent="0.25">
      <c r="A8" s="19"/>
      <c r="B8" s="19">
        <v>50</v>
      </c>
      <c r="C8" s="24">
        <v>38</v>
      </c>
      <c r="D8" s="19"/>
      <c r="E8" s="19">
        <v>52.4</v>
      </c>
      <c r="F8" s="19">
        <v>-2.4</v>
      </c>
      <c r="G8" s="19"/>
      <c r="H8" s="19"/>
      <c r="I8" s="19">
        <v>0.3</v>
      </c>
    </row>
    <row r="9" spans="1:9" x14ac:dyDescent="0.25">
      <c r="A9" s="19"/>
      <c r="B9" s="19">
        <v>15</v>
      </c>
      <c r="C9" s="24">
        <v>0</v>
      </c>
      <c r="D9" s="19"/>
      <c r="E9" s="19">
        <v>11.59</v>
      </c>
      <c r="F9" s="19">
        <v>3.41</v>
      </c>
      <c r="G9" s="19"/>
      <c r="H9" s="20"/>
      <c r="I9" s="19">
        <v>0.05</v>
      </c>
    </row>
    <row r="10" spans="1:9" x14ac:dyDescent="0.25">
      <c r="A10" s="19"/>
      <c r="B10" s="19">
        <v>30</v>
      </c>
      <c r="C10" s="24">
        <v>12</v>
      </c>
      <c r="D10" s="19"/>
      <c r="E10" s="19">
        <v>31.01</v>
      </c>
      <c r="F10" s="19">
        <v>-1.01</v>
      </c>
      <c r="G10" s="19"/>
      <c r="H10" s="19"/>
      <c r="I10" s="19">
        <v>0.02</v>
      </c>
    </row>
    <row r="11" spans="1:9" x14ac:dyDescent="0.25">
      <c r="A11" s="19"/>
      <c r="B11" s="19">
        <v>20</v>
      </c>
      <c r="C11" s="24">
        <v>5</v>
      </c>
      <c r="D11" s="20"/>
      <c r="E11" s="19">
        <v>14.51</v>
      </c>
      <c r="F11" s="19">
        <v>5.49</v>
      </c>
      <c r="G11" s="19"/>
      <c r="H11" s="19"/>
      <c r="I11" s="20">
        <v>0.01</v>
      </c>
    </row>
    <row r="12" spans="1:9" x14ac:dyDescent="0.25">
      <c r="A12" s="19"/>
      <c r="B12" s="19">
        <v>40</v>
      </c>
      <c r="C12" s="24">
        <v>0</v>
      </c>
      <c r="D12" s="19"/>
      <c r="E12" s="19">
        <v>32.75</v>
      </c>
      <c r="F12" s="19">
        <v>7.25</v>
      </c>
      <c r="G12" s="19"/>
      <c r="H12" s="19"/>
      <c r="I12" s="19"/>
    </row>
    <row r="13" spans="1:9" x14ac:dyDescent="0.25">
      <c r="A13" s="19"/>
      <c r="B13" s="19">
        <v>13</v>
      </c>
      <c r="C13" s="24">
        <v>12</v>
      </c>
      <c r="D13" s="19"/>
      <c r="E13" s="19">
        <v>10.210000000000001</v>
      </c>
      <c r="F13" s="19">
        <v>2.79</v>
      </c>
      <c r="G13" s="19"/>
      <c r="H13" s="19"/>
      <c r="I13" s="19"/>
    </row>
    <row r="14" spans="1:9" x14ac:dyDescent="0.25">
      <c r="A14" s="19"/>
      <c r="B14" s="19">
        <v>50</v>
      </c>
      <c r="C14" s="24">
        <v>13</v>
      </c>
      <c r="D14" s="19"/>
      <c r="E14" s="19">
        <v>27.69</v>
      </c>
      <c r="F14" s="19">
        <v>22.31</v>
      </c>
      <c r="G14" s="19"/>
      <c r="H14" s="19"/>
      <c r="I14" s="19"/>
    </row>
    <row r="15" spans="1:9" x14ac:dyDescent="0.25">
      <c r="A15" s="19"/>
      <c r="B15" s="19">
        <v>10</v>
      </c>
      <c r="C15" s="24">
        <v>0</v>
      </c>
      <c r="D15" s="19"/>
      <c r="E15" s="19">
        <v>6.77</v>
      </c>
      <c r="F15" s="19">
        <v>3.23</v>
      </c>
      <c r="G15" s="19"/>
      <c r="H15" s="19"/>
      <c r="I15" s="19"/>
    </row>
    <row r="16" spans="1:9" ht="15.75" thickBot="1" x14ac:dyDescent="0.3">
      <c r="A16" s="29"/>
      <c r="B16" s="29">
        <v>16</v>
      </c>
      <c r="C16" s="30">
        <v>2</v>
      </c>
      <c r="D16" s="29"/>
      <c r="E16" s="29">
        <v>9.5</v>
      </c>
      <c r="F16" s="29">
        <v>6.5</v>
      </c>
      <c r="G16" s="29"/>
      <c r="H16" s="29"/>
      <c r="I16" s="29"/>
    </row>
    <row r="17" spans="1:9" s="23" customFormat="1" ht="15.75" thickTop="1" x14ac:dyDescent="0.25">
      <c r="A17" s="22"/>
      <c r="B17" s="22">
        <f>SUM(B2:B16)</f>
        <v>399.38</v>
      </c>
      <c r="C17" s="28">
        <f>SUM(C2:C16)</f>
        <v>119</v>
      </c>
      <c r="D17" s="22">
        <f>SUM(D2:D16)</f>
        <v>29.75</v>
      </c>
      <c r="E17" s="22">
        <f>SUM(E2:E16)</f>
        <v>313.01999999999992</v>
      </c>
      <c r="F17" s="22">
        <f>SUM(F2:F16)</f>
        <v>88.36</v>
      </c>
      <c r="G17" s="22"/>
      <c r="H17" s="22">
        <f>SUM(H2:H16)</f>
        <v>308.39999999999998</v>
      </c>
      <c r="I17" s="22">
        <f>SUM(I2:I16)</f>
        <v>90.97999999999999</v>
      </c>
    </row>
    <row r="18" spans="1:9" s="26" customFormat="1" x14ac:dyDescent="0.25">
      <c r="A18" s="25" t="s">
        <v>20</v>
      </c>
      <c r="B18" s="25"/>
      <c r="C18" s="25"/>
      <c r="D18" s="27">
        <f>D17/0.25</f>
        <v>119</v>
      </c>
      <c r="E18" s="25"/>
      <c r="F18" s="25"/>
    </row>
    <row r="19" spans="1:9" x14ac:dyDescent="0.25">
      <c r="A19" s="25" t="s">
        <v>22</v>
      </c>
      <c r="B19" s="19"/>
      <c r="C19" s="19"/>
      <c r="D19" s="27">
        <f>C17</f>
        <v>119</v>
      </c>
      <c r="E19" s="19"/>
      <c r="F19" s="19"/>
    </row>
    <row r="20" spans="1:9" x14ac:dyDescent="0.25">
      <c r="A20" s="19"/>
      <c r="B20" s="19"/>
      <c r="C20" s="19"/>
      <c r="E20" s="19"/>
      <c r="F20" s="19"/>
    </row>
    <row r="21" spans="1:9" x14ac:dyDescent="0.25">
      <c r="A21" s="19"/>
      <c r="B21" s="19"/>
      <c r="C21" s="19"/>
      <c r="E21" s="19"/>
      <c r="F21" s="19"/>
    </row>
    <row r="22" spans="1:9" x14ac:dyDescent="0.25">
      <c r="A22" s="19"/>
      <c r="B22" s="19"/>
      <c r="C22" s="19"/>
      <c r="E22" s="19"/>
      <c r="F22" s="19"/>
    </row>
    <row r="23" spans="1:9" x14ac:dyDescent="0.25">
      <c r="A23" s="19"/>
      <c r="B23" s="19"/>
      <c r="C23" s="19"/>
      <c r="E23" s="19"/>
      <c r="F23" s="19"/>
    </row>
    <row r="24" spans="1:9" x14ac:dyDescent="0.25">
      <c r="A24" s="19"/>
      <c r="B24" s="19"/>
      <c r="C24" s="19"/>
      <c r="E24" s="19"/>
      <c r="F24" s="19"/>
    </row>
    <row r="25" spans="1:9" x14ac:dyDescent="0.25">
      <c r="A25" s="19"/>
      <c r="B25" s="19"/>
      <c r="C25" s="19"/>
      <c r="E25" s="19"/>
      <c r="F25" s="19"/>
    </row>
    <row r="26" spans="1:9" x14ac:dyDescent="0.25">
      <c r="A26" s="19"/>
      <c r="B26" s="19"/>
      <c r="C26" s="19"/>
      <c r="E26" s="19"/>
      <c r="F26" s="19"/>
    </row>
    <row r="27" spans="1:9" x14ac:dyDescent="0.25">
      <c r="A27" s="19"/>
      <c r="B27" s="19"/>
      <c r="C27" s="19"/>
      <c r="E27" s="19"/>
      <c r="F27" s="19"/>
      <c r="G27" s="19">
        <f>B17</f>
        <v>399.38</v>
      </c>
    </row>
    <row r="28" spans="1:9" x14ac:dyDescent="0.25">
      <c r="A28" s="19"/>
      <c r="B28" s="19"/>
      <c r="C28" s="19"/>
      <c r="E28" s="19"/>
      <c r="F28" s="19"/>
      <c r="G28" s="19">
        <f>H17+I17</f>
        <v>399.38</v>
      </c>
    </row>
    <row r="29" spans="1:9" x14ac:dyDescent="0.25">
      <c r="A29" s="19"/>
      <c r="B29" s="19"/>
      <c r="C29" s="19"/>
      <c r="E29" s="19"/>
      <c r="F29" s="19"/>
    </row>
    <row r="30" spans="1:9" x14ac:dyDescent="0.25">
      <c r="A30" s="19"/>
      <c r="B30" s="19"/>
      <c r="C30" s="19"/>
      <c r="E30" s="19"/>
      <c r="F30" s="19"/>
    </row>
    <row r="31" spans="1:9" x14ac:dyDescent="0.25">
      <c r="A31" s="19"/>
      <c r="B31" s="19"/>
      <c r="C31" s="19"/>
      <c r="E31" s="19"/>
      <c r="F31" s="19"/>
    </row>
    <row r="32" spans="1:9" x14ac:dyDescent="0.25">
      <c r="A32" s="19"/>
      <c r="B32" s="19"/>
      <c r="C32" s="19"/>
      <c r="E32" s="19"/>
      <c r="F32" s="19"/>
    </row>
  </sheetData>
  <pageMargins left="0.7" right="0.7" top="0.78740157499999996" bottom="0.78740157499999996" header="0.3" footer="0.3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2</vt:i4>
      </vt:variant>
    </vt:vector>
  </HeadingPairs>
  <TitlesOfParts>
    <vt:vector size="4" baseType="lpstr">
      <vt:lpstr>Abrechnung</vt:lpstr>
      <vt:lpstr>Übersicht</vt:lpstr>
      <vt:lpstr>Abrechnung!Druckbereich</vt:lpstr>
      <vt:lpstr>Übersicht!Druckbereich</vt:lpstr>
    </vt:vector>
  </TitlesOfParts>
  <Company>ZfP Emmendingen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Jorizzo</dc:creator>
  <cp:lastModifiedBy>Marcello Jorizzo</cp:lastModifiedBy>
  <cp:lastPrinted>2022-11-11T21:46:45Z</cp:lastPrinted>
  <dcterms:created xsi:type="dcterms:W3CDTF">2021-08-07T12:24:22Z</dcterms:created>
  <dcterms:modified xsi:type="dcterms:W3CDTF">2024-06-11T20:28:35Z</dcterms:modified>
</cp:coreProperties>
</file>